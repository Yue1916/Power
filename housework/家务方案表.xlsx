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2070" windowWidth="38640" windowHeight="21120" tabRatio="600" firstSheet="0" activeTab="0" autoFilterDateGrouping="1"/>
  </bookViews>
  <sheets>
    <sheet xmlns:r="http://schemas.openxmlformats.org/officeDocument/2006/relationships" name="家务方案" sheetId="1" state="visible" r:id="rId1"/>
    <sheet xmlns:r="http://schemas.openxmlformats.org/officeDocument/2006/relationships" name="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FFFFFF"/>
      <sz val="16"/>
    </font>
    <font>
      <name val="微软雅黑"/>
      <charset val="134"/>
      <family val="2"/>
      <b val="1"/>
      <color rgb="FFFFFFFF"/>
      <sz val="11"/>
    </font>
    <font>
      <name val="微软雅黑"/>
      <charset val="134"/>
      <family val="2"/>
      <b val="1"/>
      <color rgb="FFFFFFFF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微软雅黑"/>
      <charset val="134"/>
      <family val="2"/>
      <b val="1"/>
      <color rgb="FF4472C4"/>
      <sz val="14"/>
    </font>
    <font>
      <name val="宋体"/>
      <charset val="134"/>
      <family val="3"/>
      <sz val="9"/>
      <scheme val="minor"/>
    </font>
  </fonts>
  <fills count="10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808080"/>
      </patternFill>
    </fill>
    <fill>
      <patternFill patternType="solid">
        <fgColor rgb="FFED7D31"/>
      </patternFill>
    </fill>
    <fill>
      <patternFill patternType="solid">
        <fgColor rgb="FFD9D9D9"/>
      </patternFill>
    </fill>
    <fill>
      <patternFill patternType="solid">
        <fgColor rgb="FF70AD47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548235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5" borderId="1" applyAlignment="1" pivotButton="0" quotePrefix="0" xfId="0">
      <alignment horizontal="right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tabSelected="1" workbookViewId="0">
      <selection activeCell="C4" sqref="C4"/>
    </sheetView>
  </sheetViews>
  <sheetFormatPr baseColWidth="8" defaultRowHeight="14.4"/>
  <cols>
    <col width="6" customWidth="1" style="11" min="1" max="1"/>
    <col width="18" customWidth="1" style="11" min="2" max="2"/>
    <col width="39" customWidth="1" style="11" min="3" max="3"/>
    <col width="14" customWidth="1" style="11" min="4" max="4"/>
    <col width="10" customWidth="1" style="11" min="5" max="5"/>
    <col width="12" customWidth="1" style="11" min="6" max="7"/>
  </cols>
  <sheetData>
    <row r="1" ht="30" customHeight="1" s="11">
      <c r="A1" s="12" t="inlineStr">
        <is>
          <t>家庭家务方案表（2人 + 1狗 · 120㎡套二 · 家务经费2000元/月）</t>
        </is>
      </c>
    </row>
    <row r="2" ht="22.05" customHeight="1" s="11">
      <c r="A2" s="1" t="inlineStr">
        <is>
          <t>序号</t>
        </is>
      </c>
      <c r="B2" s="1" t="inlineStr">
        <is>
          <t>家务名称</t>
        </is>
      </c>
      <c r="C2" s="1" t="inlineStr">
        <is>
          <t>范围 / 内容</t>
        </is>
      </c>
      <c r="D2" s="1" t="inlineStr">
        <is>
          <t>频次</t>
        </is>
      </c>
      <c r="E2" s="1" t="inlineStr">
        <is>
          <t>单价(元)</t>
        </is>
      </c>
      <c r="F2" s="1" t="inlineStr">
        <is>
          <t>预计月次数</t>
        </is>
      </c>
      <c r="G2" s="1" t="inlineStr">
        <is>
          <t>月小计(元)</t>
        </is>
      </c>
    </row>
    <row r="3" ht="22.05" customHeight="1" s="11">
      <c r="A3" s="14" t="inlineStr">
        <is>
          <t>每日家务（高频、单价低）</t>
        </is>
      </c>
      <c r="B3" s="22" t="n"/>
      <c r="C3" s="22" t="n"/>
      <c r="D3" s="22" t="n"/>
      <c r="E3" s="22" t="n"/>
      <c r="F3" s="22" t="n"/>
      <c r="G3" s="23" t="n"/>
    </row>
    <row r="4" ht="15.6" customHeight="1" s="11">
      <c r="A4" s="2" t="n">
        <v>1</v>
      </c>
      <c r="B4" s="3" t="inlineStr">
        <is>
          <t>做饭（正餐）</t>
        </is>
      </c>
      <c r="C4" s="3" t="inlineStr">
        <is>
          <t>备菜、烹饪、盛装，一顿正餐</t>
        </is>
      </c>
      <c r="D4" s="2" t="inlineStr">
        <is>
          <t>平均22顿/月</t>
        </is>
      </c>
      <c r="E4" s="2" t="n">
        <v>10</v>
      </c>
      <c r="F4" s="2" t="n">
        <v>22</v>
      </c>
      <c r="G4" s="2">
        <f>E4*F4</f>
        <v/>
      </c>
    </row>
    <row r="5" ht="15.6" customHeight="1" s="11">
      <c r="A5" s="2" t="n">
        <v>2</v>
      </c>
      <c r="B5" s="3" t="inlineStr">
        <is>
          <t>洗碗</t>
        </is>
      </c>
      <c r="C5" s="3" t="inlineStr">
        <is>
          <t>桌面清理、碗筷、锅具 + 灶台水槽擦净</t>
        </is>
      </c>
      <c r="D5" s="2" t="inlineStr">
        <is>
          <t>每天</t>
        </is>
      </c>
      <c r="E5" s="2" t="n">
        <v>10</v>
      </c>
      <c r="F5" s="2" t="n">
        <v>30</v>
      </c>
      <c r="G5" s="2">
        <f>E5*F5</f>
        <v/>
      </c>
    </row>
    <row r="6" ht="31.2" customHeight="1" s="11">
      <c r="A6" s="2" t="n">
        <v>3</v>
      </c>
      <c r="B6" s="3" t="inlineStr">
        <is>
          <t>遛狗</t>
        </is>
      </c>
      <c r="C6" s="3" t="inlineStr">
        <is>
          <t>单次15钟以上，含捡便
（需单人，两人一起的不算）</t>
        </is>
      </c>
      <c r="D6" s="2" t="inlineStr">
        <is>
          <t>每天2次</t>
        </is>
      </c>
      <c r="E6" s="2" t="n">
        <v>5</v>
      </c>
      <c r="F6" s="2" t="n">
        <v>60</v>
      </c>
      <c r="G6" s="2">
        <f>E6*F6</f>
        <v/>
      </c>
    </row>
    <row r="7" ht="15.6" customHeight="1" s="11">
      <c r="A7" s="2" t="n">
        <v>4</v>
      </c>
      <c r="B7" s="3" t="inlineStr">
        <is>
          <t>喂食喂水</t>
        </is>
      </c>
      <c r="C7" s="3" t="inlineStr">
        <is>
          <t>早晚投喂、换水，擦嘴、洗狗碗算一整天</t>
        </is>
      </c>
      <c r="D7" s="2" t="inlineStr">
        <is>
          <t>每天</t>
        </is>
      </c>
      <c r="E7" s="2" t="n">
        <v>5</v>
      </c>
      <c r="F7" s="2" t="n">
        <v>30</v>
      </c>
      <c r="G7" s="2">
        <f>E7*F7</f>
        <v/>
      </c>
    </row>
    <row r="8" ht="16.2" customHeight="1" s="11">
      <c r="A8" s="10" t="inlineStr">
        <is>
          <t>每日家务 小计</t>
        </is>
      </c>
      <c r="B8" s="22" t="n"/>
      <c r="C8" s="22" t="n"/>
      <c r="D8" s="22" t="n"/>
      <c r="E8" s="22" t="n"/>
      <c r="F8" s="23" t="n"/>
      <c r="G8" s="4">
        <f>SUM(G4:G7)</f>
        <v/>
      </c>
    </row>
    <row r="9" ht="22.05" customHeight="1" s="11">
      <c r="A9" s="18" t="inlineStr">
        <is>
          <t>每周家务（中频、单价中）</t>
        </is>
      </c>
      <c r="B9" s="22" t="n"/>
      <c r="C9" s="22" t="n"/>
      <c r="D9" s="22" t="n"/>
      <c r="E9" s="22" t="n"/>
      <c r="F9" s="22" t="n"/>
      <c r="G9" s="23" t="n"/>
    </row>
    <row r="10" ht="15.6" customHeight="1" s="11">
      <c r="A10" s="2" t="n">
        <v>17</v>
      </c>
      <c r="B10" s="3" t="inlineStr">
        <is>
          <t>阳台清理</t>
        </is>
      </c>
      <c r="C10" s="3" t="inlineStr">
        <is>
          <t>阳台地面、栏杆、杂物整理</t>
        </is>
      </c>
      <c r="D10" s="2" t="inlineStr">
        <is>
          <t>每周1次</t>
        </is>
      </c>
      <c r="E10" s="2" t="n">
        <v>10</v>
      </c>
      <c r="F10" s="2" t="n">
        <v>4</v>
      </c>
      <c r="G10" s="2">
        <f>E10*F10</f>
        <v/>
      </c>
    </row>
    <row r="11" ht="15.6" customHeight="1" s="11">
      <c r="A11" s="2" t="n">
        <v>6</v>
      </c>
      <c r="B11" s="3" t="inlineStr">
        <is>
          <t>全屋扫地拖地</t>
        </is>
      </c>
      <c r="C11" s="3" t="inlineStr">
        <is>
          <t>120平全屋，有狗勤一点</t>
        </is>
      </c>
      <c r="D11" s="2" t="inlineStr">
        <is>
          <t>每周1-2次</t>
        </is>
      </c>
      <c r="E11" s="2" t="n">
        <v>20</v>
      </c>
      <c r="F11" s="2" t="n">
        <v>8</v>
      </c>
      <c r="G11" s="2">
        <f>E11*F11</f>
        <v/>
      </c>
    </row>
    <row r="12" ht="15.6" customHeight="1" s="11">
      <c r="A12" s="2" t="n">
        <v>7</v>
      </c>
      <c r="B12" s="3" t="inlineStr">
        <is>
          <t>主卧卫生间清洁</t>
        </is>
      </c>
      <c r="C12" s="3" t="inlineStr">
        <is>
          <t>马桶、台盆、镜子、地面</t>
        </is>
      </c>
      <c r="D12" s="2" t="inlineStr">
        <is>
          <t>每周1次</t>
        </is>
      </c>
      <c r="E12" s="2" t="n">
        <v>10</v>
      </c>
      <c r="F12" s="2" t="n">
        <v>4</v>
      </c>
      <c r="G12" s="2">
        <f>E12*F12</f>
        <v/>
      </c>
    </row>
    <row r="13" ht="31.2" customHeight="1" s="11">
      <c r="A13" s="2" t="n">
        <v>8</v>
      </c>
      <c r="B13" s="3" t="inlineStr">
        <is>
          <t>公共卫生间清洁</t>
        </is>
      </c>
      <c r="C13" s="3" t="inlineStr">
        <is>
          <t>马桶、台盆、镜子、地面、干湿分离（使用更频繁、更脏）</t>
        </is>
      </c>
      <c r="D13" s="2" t="inlineStr">
        <is>
          <t>每周1次</t>
        </is>
      </c>
      <c r="E13" s="2" t="n">
        <v>15</v>
      </c>
      <c r="F13" s="2" t="n">
        <v>4</v>
      </c>
      <c r="G13" s="2">
        <f>E13*F13</f>
        <v/>
      </c>
    </row>
    <row r="14" ht="15.6" customHeight="1" s="11">
      <c r="A14" s="2" t="n">
        <v>9</v>
      </c>
      <c r="B14" s="3" t="inlineStr">
        <is>
          <t>洗衣全流程</t>
        </is>
      </c>
      <c r="C14" s="3" t="inlineStr">
        <is>
          <t>分类洗 + 晾/烘 + 收叠入柜</t>
        </is>
      </c>
      <c r="D14" s="2" t="inlineStr">
        <is>
          <t>每周2次</t>
        </is>
      </c>
      <c r="E14" s="2" t="n">
        <v>10</v>
      </c>
      <c r="F14" s="2" t="n">
        <v>8</v>
      </c>
      <c r="G14" s="2">
        <f>E14*F14</f>
        <v/>
      </c>
    </row>
    <row r="15" ht="15.6" customHeight="1" s="11">
      <c r="A15" s="2" t="n">
        <v>11</v>
      </c>
      <c r="B15" s="3" t="inlineStr">
        <is>
          <t>狗狗洗澡</t>
        </is>
      </c>
      <c r="C15" s="3" t="inlineStr">
        <is>
          <t>洗澡 + 吹干 + 梳毛</t>
        </is>
      </c>
      <c r="D15" s="2" t="inlineStr">
        <is>
          <t>每2周1次</t>
        </is>
      </c>
      <c r="E15" s="2" t="n">
        <v>50</v>
      </c>
      <c r="F15" s="2" t="n">
        <v>2</v>
      </c>
      <c r="G15" s="2">
        <f>E15*F15</f>
        <v/>
      </c>
    </row>
    <row r="16" ht="31.2" customHeight="1" s="11">
      <c r="A16" s="2" t="n">
        <v>13</v>
      </c>
      <c r="B16" s="3" t="inlineStr">
        <is>
          <t>擦灰</t>
        </is>
      </c>
      <c r="C16" s="3" t="inlineStr">
        <is>
          <t>电视柜/书架/柜顶/家电外壳/灯具/装饰品等本体除尘</t>
        </is>
      </c>
      <c r="D16" s="2" t="inlineStr">
        <is>
          <t>每周1次</t>
        </is>
      </c>
      <c r="E16" s="2" t="n">
        <v>20</v>
      </c>
      <c r="F16" s="2" t="n">
        <v>4</v>
      </c>
      <c r="G16" s="2">
        <f>E16*F16</f>
        <v/>
      </c>
    </row>
    <row r="17" ht="15.6" customHeight="1" s="11">
      <c r="A17" s="2" t="n">
        <v>14</v>
      </c>
      <c r="B17" s="3" t="inlineStr">
        <is>
          <t>厨房深度清洁</t>
        </is>
      </c>
      <c r="C17" s="3" t="inlineStr">
        <is>
          <t>油烟机、灶台、台面去油</t>
        </is>
      </c>
      <c r="D17" s="2" t="inlineStr">
        <is>
          <t>每周1次</t>
        </is>
      </c>
      <c r="E17" s="2" t="n">
        <v>20</v>
      </c>
      <c r="F17" s="2" t="n">
        <v>4</v>
      </c>
      <c r="G17" s="2">
        <f>E17*F17</f>
        <v/>
      </c>
    </row>
    <row r="18" ht="16.2" customHeight="1" s="11">
      <c r="A18" s="10" t="inlineStr">
        <is>
          <t>每周家务 小计</t>
        </is>
      </c>
      <c r="B18" s="22" t="n"/>
      <c r="C18" s="22" t="n"/>
      <c r="D18" s="22" t="n"/>
      <c r="E18" s="22" t="n"/>
      <c r="F18" s="23" t="n"/>
      <c r="G18" s="4">
        <f>SUM(G10:G17)</f>
        <v/>
      </c>
    </row>
    <row r="19" ht="22.05" customHeight="1" s="11">
      <c r="A19" s="15" t="inlineStr">
        <is>
          <t>每月 / 周期性家务（低频、单价高）</t>
        </is>
      </c>
      <c r="B19" s="22" t="n"/>
      <c r="C19" s="22" t="n"/>
      <c r="D19" s="22" t="n"/>
      <c r="E19" s="22" t="n"/>
      <c r="F19" s="22" t="n"/>
      <c r="G19" s="23" t="n"/>
    </row>
    <row r="20" ht="15.6" customHeight="1" s="11">
      <c r="A20" s="2" t="n">
        <v>15</v>
      </c>
      <c r="B20" s="3" t="inlineStr">
        <is>
          <t>冰箱清理</t>
        </is>
      </c>
      <c r="C20" s="3" t="inlineStr">
        <is>
          <t>清空、擦洗、丢过期、归类</t>
        </is>
      </c>
      <c r="D20" s="2" t="inlineStr">
        <is>
          <t>每月1次</t>
        </is>
      </c>
      <c r="E20" s="2" t="n">
        <v>20</v>
      </c>
      <c r="F20" s="2" t="n">
        <v>1</v>
      </c>
      <c r="G20" s="2">
        <f>E20*F20</f>
        <v/>
      </c>
    </row>
    <row r="21" ht="15.6" customHeight="1" s="11">
      <c r="A21" s="2" t="n">
        <v>10</v>
      </c>
      <c r="B21" s="3" t="inlineStr">
        <is>
          <t>换洗床单被套</t>
        </is>
      </c>
      <c r="C21" s="3" t="inlineStr">
        <is>
          <t>拆洗、换新、铺好</t>
        </is>
      </c>
      <c r="D21" s="2" t="inlineStr">
        <is>
          <t>每月1次</t>
        </is>
      </c>
      <c r="E21" s="2" t="n">
        <v>20</v>
      </c>
      <c r="F21" s="2" t="n">
        <v>1</v>
      </c>
      <c r="G21" s="2">
        <f>E21*F21</f>
        <v/>
      </c>
    </row>
    <row r="22" ht="15.6" customHeight="1" s="11">
      <c r="A22" s="2" t="n">
        <v>16</v>
      </c>
      <c r="B22" s="3" t="inlineStr">
        <is>
          <t>窗户清洁</t>
        </is>
      </c>
      <c r="C22" s="3" t="inlineStr">
        <is>
          <t>玻璃、窗框、纱窗</t>
        </is>
      </c>
      <c r="D22" s="2" t="inlineStr">
        <is>
          <t>每月1次</t>
        </is>
      </c>
      <c r="E22" s="2" t="n">
        <v>20</v>
      </c>
      <c r="F22" s="2" t="n">
        <v>1</v>
      </c>
      <c r="G22" s="2">
        <f>E22*F22</f>
        <v/>
      </c>
    </row>
    <row r="23" ht="15.6" customHeight="1" s="11">
      <c r="A23" s="19" t="n">
        <v>17</v>
      </c>
      <c r="B23" s="20" t="inlineStr">
        <is>
          <t>沙发套清洗</t>
        </is>
      </c>
      <c r="C23" s="20" t="inlineStr">
        <is>
          <t>沙发套清洗、晾晒、铺好</t>
        </is>
      </c>
      <c r="D23" s="2" t="inlineStr">
        <is>
          <t>每月1次</t>
        </is>
      </c>
      <c r="E23" s="19" t="n">
        <v>30</v>
      </c>
      <c r="F23" s="19" t="n">
        <v>1</v>
      </c>
      <c r="G23" s="21" t="n">
        <v>30</v>
      </c>
    </row>
    <row r="24" ht="15.6" customHeight="1" s="11">
      <c r="A24" s="2" t="n">
        <v>18</v>
      </c>
      <c r="B24" s="3" t="inlineStr">
        <is>
          <t>狗窝拆洗</t>
        </is>
      </c>
      <c r="C24" s="3" t="inlineStr">
        <is>
          <t>狗窝、垫子拆洗晾晒</t>
        </is>
      </c>
      <c r="D24" s="2" t="inlineStr">
        <is>
          <t>每月1次</t>
        </is>
      </c>
      <c r="E24" s="2" t="n">
        <v>15</v>
      </c>
      <c r="F24" s="2" t="n">
        <v>1</v>
      </c>
      <c r="G24" s="2">
        <f>E24*F24</f>
        <v/>
      </c>
    </row>
    <row r="25" ht="15.6" customHeight="1" s="11">
      <c r="A25" s="2" t="n">
        <v>19</v>
      </c>
      <c r="B25" s="3" t="inlineStr">
        <is>
          <t>狗狗玩具清洗</t>
        </is>
      </c>
      <c r="C25" s="3" t="inlineStr">
        <is>
          <t>玩具清洗消毒</t>
        </is>
      </c>
      <c r="D25" s="2" t="inlineStr">
        <is>
          <t>每月1-2次</t>
        </is>
      </c>
      <c r="E25" s="2" t="n">
        <v>10</v>
      </c>
      <c r="F25" s="2" t="n">
        <v>2</v>
      </c>
      <c r="G25" s="2">
        <f>E25*F25</f>
        <v/>
      </c>
    </row>
    <row r="26" ht="15.6" customHeight="1" s="11">
      <c r="A26" s="2" t="n">
        <v>20</v>
      </c>
      <c r="B26" s="3" t="inlineStr">
        <is>
          <t>周末深度大扫除</t>
        </is>
      </c>
      <c r="C26" s="3" t="inlineStr">
        <is>
          <t>全屋角落、踢脚线、门缝</t>
        </is>
      </c>
      <c r="D26" s="2" t="inlineStr">
        <is>
          <t>每月1次</t>
        </is>
      </c>
      <c r="E26" s="2" t="n">
        <v>30</v>
      </c>
      <c r="F26" s="2" t="n">
        <v>1</v>
      </c>
      <c r="G26" s="2">
        <f>E26*F26</f>
        <v/>
      </c>
    </row>
    <row r="27" ht="31.2" customHeight="1" s="11">
      <c r="A27" s="2" t="n">
        <v>21</v>
      </c>
      <c r="B27" s="3" t="inlineStr">
        <is>
          <t>换季衣物整理</t>
        </is>
      </c>
      <c r="C27" s="3" t="inlineStr">
        <is>
          <t>换季衣物清洗/收纳/防潮防虫、收纳箱打包、当季衣物上架</t>
        </is>
      </c>
      <c r="D27" s="2" t="inlineStr">
        <is>
          <t>每季度1次</t>
        </is>
      </c>
      <c r="E27" s="2" t="n">
        <v>50</v>
      </c>
      <c r="F27" s="2" t="n">
        <v>0.33</v>
      </c>
      <c r="G27" s="2">
        <f>E27*F27</f>
        <v/>
      </c>
    </row>
    <row r="28" ht="15.6" customHeight="1" s="11">
      <c r="A28" s="2" t="n">
        <v>22</v>
      </c>
      <c r="B28" s="3" t="inlineStr">
        <is>
          <t>狗狗剃脚毛</t>
        </is>
      </c>
      <c r="C28" s="3" t="inlineStr">
        <is>
          <t>剃脚底、脚趾间毛发</t>
        </is>
      </c>
      <c r="D28" s="2" t="inlineStr">
        <is>
          <t>每2周1次</t>
        </is>
      </c>
      <c r="E28" s="2" t="n">
        <v>20</v>
      </c>
      <c r="F28" s="2" t="n">
        <v>2</v>
      </c>
      <c r="G28" s="2">
        <f>E28*F28</f>
        <v/>
      </c>
    </row>
    <row r="29" ht="15.6" customHeight="1" s="11">
      <c r="A29" s="2" t="n">
        <v>23</v>
      </c>
      <c r="B29" s="3" t="inlineStr">
        <is>
          <t>狗狗美容</t>
        </is>
      </c>
      <c r="C29" s="3" t="inlineStr">
        <is>
          <t>全身剃毛、修剪造型</t>
        </is>
      </c>
      <c r="D29" s="2" t="inlineStr">
        <is>
          <t>每月1次</t>
        </is>
      </c>
      <c r="E29" s="2" t="n">
        <v>30</v>
      </c>
      <c r="F29" s="2" t="n">
        <v>1</v>
      </c>
      <c r="G29" s="2">
        <f>E29*F29</f>
        <v/>
      </c>
    </row>
    <row r="30" ht="31.2" customHeight="1" s="11">
      <c r="A30" s="2" t="n">
        <v>24</v>
      </c>
      <c r="B30" s="3" t="inlineStr">
        <is>
          <t>狗狗预制餐准备</t>
        </is>
      </c>
      <c r="C30" s="3" t="inlineStr">
        <is>
          <t>采购各类食材、清洗、切块、分装，备足下月一个月的量</t>
        </is>
      </c>
      <c r="D30" s="2" t="inlineStr">
        <is>
          <t>每月1次</t>
        </is>
      </c>
      <c r="E30" s="2" t="n">
        <v>50</v>
      </c>
      <c r="F30" s="2" t="n">
        <v>1</v>
      </c>
      <c r="G30" s="2">
        <f>E30*F30</f>
        <v/>
      </c>
    </row>
    <row r="31" ht="16.2" customHeight="1" s="11">
      <c r="A31" s="10" t="inlineStr">
        <is>
          <t>每月 / 周期性家务 小计</t>
        </is>
      </c>
      <c r="B31" s="22" t="n"/>
      <c r="C31" s="22" t="n"/>
      <c r="D31" s="22" t="n"/>
      <c r="E31" s="22" t="n"/>
      <c r="F31" s="23" t="n"/>
      <c r="G31" s="4">
        <f>SUM(G20:G30)</f>
        <v/>
      </c>
    </row>
    <row r="32" ht="22.05" customHeight="1" s="11">
      <c r="A32" s="16" t="inlineStr">
        <is>
          <t>预计月总支出</t>
        </is>
      </c>
      <c r="B32" s="22" t="n"/>
      <c r="C32" s="22" t="n"/>
      <c r="D32" s="22" t="n"/>
      <c r="E32" s="22" t="n"/>
      <c r="F32" s="23" t="n"/>
      <c r="G32" s="5">
        <f>G8+G18+G31</f>
        <v/>
      </c>
    </row>
    <row r="33" ht="22.05" customHeight="1" s="11">
      <c r="A33" s="17" t="inlineStr">
        <is>
          <t>每月家务经费预算</t>
        </is>
      </c>
      <c r="B33" s="22" t="n"/>
      <c r="C33" s="22" t="n"/>
      <c r="D33" s="22" t="n"/>
      <c r="E33" s="22" t="n"/>
      <c r="F33" s="23" t="n"/>
      <c r="G33" s="6" t="n">
        <v>2000</v>
      </c>
    </row>
    <row r="34" ht="22.05" customHeight="1" s="11">
      <c r="A34" s="13" t="inlineStr">
        <is>
          <t>预计每月结余（→ 共同基金）</t>
        </is>
      </c>
      <c r="B34" s="22" t="n"/>
      <c r="C34" s="22" t="n"/>
      <c r="D34" s="22" t="n"/>
      <c r="E34" s="22" t="n"/>
      <c r="F34" s="23" t="n"/>
      <c r="G34" s="7">
        <f>G33-G32</f>
        <v/>
      </c>
    </row>
  </sheetData>
  <mergeCells count="10">
    <mergeCell ref="A33:F33"/>
    <mergeCell ref="A1:G1"/>
    <mergeCell ref="A9:G9"/>
    <mergeCell ref="A3:G3"/>
    <mergeCell ref="A32:F32"/>
    <mergeCell ref="A31:F31"/>
    <mergeCell ref="A8:F8"/>
    <mergeCell ref="A34:F34"/>
    <mergeCell ref="A18:F18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4.4"/>
  <cols>
    <col width="90" customWidth="1" style="11" min="1" max="1"/>
  </cols>
  <sheetData>
    <row r="1" ht="20.4" customHeight="1" s="11">
      <c r="A1" s="8" t="inlineStr">
        <is>
          <t>方案说明</t>
        </is>
      </c>
    </row>
    <row r="2" ht="15.6" customHeight="1" s="11">
      <c r="A2" s="9" t="n"/>
    </row>
    <row r="3" ht="15.6" customHeight="1" s="11">
      <c r="A3" s="9" t="inlineStr">
        <is>
          <t>1. 完成才算数：做一次拿一次的钱，没做不拿。只看谁做了，不争论应该谁做。</t>
        </is>
      </c>
    </row>
    <row r="4" ht="15.6" customHeight="1" s="11">
      <c r="A4" s="9" t="inlineStr">
        <is>
          <t>2. 明码标价：又累又不想干的活单价定得高，让人有动力抢着做。</t>
        </is>
      </c>
    </row>
    <row r="5" ht="15.6" customHeight="1" s="11">
      <c r="A5" s="9" t="inlineStr">
        <is>
          <t>3. 频次为「预计月次数」，实际以真实完成为准；2000元是上限/预算，非必须花完。</t>
        </is>
      </c>
    </row>
    <row r="6" ht="15.6" customHeight="1" s="11">
      <c r="A6" s="9" t="inlineStr">
        <is>
          <t>4. 结余进「共同基金」（约会、给狗添装备、聚餐），钱花得开心又不超支。</t>
        </is>
      </c>
    </row>
    <row r="7" ht="15.6" customHeight="1" s="11">
      <c r="A7" s="9" t="inlineStr">
        <is>
          <t>5. 月底对比两人金额，差距超过约300元，下月赚少的一方优先认领高频家务。</t>
        </is>
      </c>
    </row>
    <row r="8" ht="15.6" customHeight="1" s="11">
      <c r="A8" s="9" t="inlineStr">
        <is>
          <t>6. 弹性条款：出差/生病/加班期间对方顶上的家务，可约定加价20%。</t>
        </is>
      </c>
    </row>
    <row r="9" ht="15.6" customHeight="1" s="11">
      <c r="A9" s="9" t="n"/>
    </row>
    <row r="10" ht="15.6" customHeight="1" s="11">
      <c r="A10" s="9" t="inlineStr">
        <is>
          <t>★ 表格已带公式：直接修改「单价(E列)」或「月次数(F列)」，</t>
        </is>
      </c>
    </row>
    <row r="11" ht="15.6" customHeight="1" s="11">
      <c r="A11" s="9" t="inlineStr">
        <is>
          <t xml:space="preserve">  该行「月小计(G列)」、各类小计、月总支出、结余会自动重算，无需手动改。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2026-08-21T11:31:23Z</dcterms:created>
  <dcterms:modified xmlns:dcterms="http://purl.org/dc/terms/" xmlns:xsi="http://www.w3.org/2001/XMLSchema-instance" xsi:type="dcterms:W3CDTF">2026-08-21T12:02:43Z</dcterms:modified>
  <cp:lastModifiedBy>Hu, Yue</cp:lastModifiedBy>
</cp:coreProperties>
</file>

<file path=docProps/custom.xml><?xml version="1.0" encoding="utf-8"?>
<Properties xmlns="http://schemas.openxmlformats.org/officeDocument/2006/custom-properties">
  <property name="MSIP_Label_19e68092-05df-4271-8e3e-b2a4c82ba797_Enabled" fmtid="{D5CDD505-2E9C-101B-9397-08002B2CF9AE}" pid="2">
    <vt:lpwstr xmlns:vt="http://schemas.openxmlformats.org/officeDocument/2006/docPropsVTypes">true</vt:lpwstr>
  </property>
  <property name="MSIP_Label_19e68092-05df-4271-8e3e-b2a4c82ba797_SetDate" fmtid="{D5CDD505-2E9C-101B-9397-08002B2CF9AE}" pid="3">
    <vt:lpwstr xmlns:vt="http://schemas.openxmlformats.org/officeDocument/2006/docPropsVTypes">2026-08-21T11:46:50Z</vt:lpwstr>
  </property>
  <property name="MSIP_Label_19e68092-05df-4271-8e3e-b2a4c82ba797_Method" fmtid="{D5CDD505-2E9C-101B-9397-08002B2CF9AE}" pid="4">
    <vt:lpwstr xmlns:vt="http://schemas.openxmlformats.org/officeDocument/2006/docPropsVTypes">Standard</vt:lpwstr>
  </property>
  <property name="MSIP_Label_19e68092-05df-4271-8e3e-b2a4c82ba797_Name" fmtid="{D5CDD505-2E9C-101B-9397-08002B2CF9AE}" pid="5">
    <vt:lpwstr xmlns:vt="http://schemas.openxmlformats.org/officeDocument/2006/docPropsVTypes">Amazon Confidential</vt:lpwstr>
  </property>
  <property name="MSIP_Label_19e68092-05df-4271-8e3e-b2a4c82ba797_SiteId" fmtid="{D5CDD505-2E9C-101B-9397-08002B2CF9AE}" pid="6">
    <vt:lpwstr xmlns:vt="http://schemas.openxmlformats.org/officeDocument/2006/docPropsVTypes">5280104a-472d-4538-9ccf-1e1d0efe8b1b</vt:lpwstr>
  </property>
  <property name="MSIP_Label_19e68092-05df-4271-8e3e-b2a4c82ba797_ActionId" fmtid="{D5CDD505-2E9C-101B-9397-08002B2CF9AE}" pid="7">
    <vt:lpwstr xmlns:vt="http://schemas.openxmlformats.org/officeDocument/2006/docPropsVTypes">502eeb85-32cf-4290-b9c9-36af2bec68cf</vt:lpwstr>
  </property>
  <property name="MSIP_Label_19e68092-05df-4271-8e3e-b2a4c82ba797_ContentBits" fmtid="{D5CDD505-2E9C-101B-9397-08002B2CF9AE}" pid="8">
    <vt:lpwstr xmlns:vt="http://schemas.openxmlformats.org/officeDocument/2006/docPropsVTypes">0</vt:lpwstr>
  </property>
  <property name="MSIP_Label_19e68092-05df-4271-8e3e-b2a4c82ba797_Tag" fmtid="{D5CDD505-2E9C-101B-9397-08002B2CF9AE}" pid="9">
    <vt:lpwstr xmlns:vt="http://schemas.openxmlformats.org/officeDocument/2006/docPropsVTypes">10, 3, 0, 1</vt:lpwstr>
  </property>
</Properties>
</file>